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'Resumen'!$D$2:$D$6</f>
            </numRef>
          </cat>
          <val>
            <numRef>
              <f>'Resumen'!$E$2:$E$6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Ventas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'Resumen'!$D$2:$D$6</f>
            </numRef>
          </cat>
          <val>
            <numRef>
              <f>'Resumen'!$E$2:$E$6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2" customWidth="1" min="4" max="4"/>
    <col width="18" customWidth="1" min="5" max="5"/>
    <col width="12" customWidth="1" min="6" max="6"/>
    <col width="18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Fecha</t>
        </is>
      </c>
      <c r="B1" s="1" t="inlineStr">
        <is>
          <t>Factura</t>
        </is>
      </c>
      <c r="C1" s="1" t="inlineStr">
        <is>
          <t>Cliente</t>
        </is>
      </c>
      <c r="D1" s="1" t="inlineStr">
        <is>
          <t>Vendedor</t>
        </is>
      </c>
      <c r="E1" s="1" t="inlineStr">
        <is>
          <t>Producto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Subtotal</t>
        </is>
      </c>
      <c r="I1" s="1" t="inlineStr">
        <is>
          <t>IVA (12%)</t>
        </is>
      </c>
      <c r="J1" s="1" t="inlineStr">
        <is>
          <t>Total</t>
        </is>
      </c>
    </row>
    <row r="2">
      <c r="A2" t="inlineStr">
        <is>
          <t>2026-05-10</t>
        </is>
      </c>
      <c r="B2" t="inlineStr">
        <is>
          <t>FAC-2001</t>
        </is>
      </c>
      <c r="C2" t="inlineStr">
        <is>
          <t>Distribuidora Maya</t>
        </is>
      </c>
      <c r="D2" t="inlineStr">
        <is>
          <t>Carlos Méndez</t>
        </is>
      </c>
      <c r="E2" t="inlineStr">
        <is>
          <t>Monitor</t>
        </is>
      </c>
      <c r="F2" t="n">
        <v>6</v>
      </c>
      <c r="G2" t="n">
        <v>1800</v>
      </c>
      <c r="H2" t="n">
        <v>10800</v>
      </c>
      <c r="I2" t="n">
        <v>1296</v>
      </c>
      <c r="J2" t="n">
        <v>12096</v>
      </c>
    </row>
    <row r="3">
      <c r="A3" t="inlineStr">
        <is>
          <t>2026-05-08</t>
        </is>
      </c>
      <c r="B3" t="inlineStr">
        <is>
          <t>FAC-2002</t>
        </is>
      </c>
      <c r="C3" t="inlineStr">
        <is>
          <t>Tecnología GT</t>
        </is>
      </c>
      <c r="D3" t="inlineStr">
        <is>
          <t>Luis Gómez</t>
        </is>
      </c>
      <c r="E3" t="inlineStr">
        <is>
          <t>Monitor</t>
        </is>
      </c>
      <c r="F3" t="n">
        <v>4</v>
      </c>
      <c r="G3" t="n">
        <v>1800</v>
      </c>
      <c r="H3" t="n">
        <v>7200</v>
      </c>
      <c r="I3" t="n">
        <v>864</v>
      </c>
      <c r="J3" t="n">
        <v>8064</v>
      </c>
    </row>
    <row r="4">
      <c r="A4" t="inlineStr">
        <is>
          <t>2026-05-09</t>
        </is>
      </c>
      <c r="B4" t="inlineStr">
        <is>
          <t>FAC-2003</t>
        </is>
      </c>
      <c r="C4" t="inlineStr">
        <is>
          <t>Tecnología GT</t>
        </is>
      </c>
      <c r="D4" t="inlineStr">
        <is>
          <t>Luis Gómez</t>
        </is>
      </c>
      <c r="E4" t="inlineStr">
        <is>
          <t>Impresora</t>
        </is>
      </c>
      <c r="F4" t="n">
        <v>4</v>
      </c>
      <c r="G4" t="n">
        <v>1450</v>
      </c>
      <c r="H4" t="n">
        <v>5800</v>
      </c>
      <c r="I4" t="n">
        <v>696</v>
      </c>
      <c r="J4" t="n">
        <v>6496</v>
      </c>
    </row>
    <row r="5">
      <c r="A5" t="inlineStr">
        <is>
          <t>2026-05-07</t>
        </is>
      </c>
      <c r="B5" t="inlineStr">
        <is>
          <t>FAC-2004</t>
        </is>
      </c>
      <c r="C5" t="inlineStr">
        <is>
          <t>Distribuidora Maya</t>
        </is>
      </c>
      <c r="D5" t="inlineStr">
        <is>
          <t>Luis Gómez</t>
        </is>
      </c>
      <c r="E5" t="inlineStr">
        <is>
          <t>Teclado</t>
        </is>
      </c>
      <c r="F5" t="n">
        <v>7</v>
      </c>
      <c r="G5" t="n">
        <v>250</v>
      </c>
      <c r="H5" t="n">
        <v>1750</v>
      </c>
      <c r="I5" t="n">
        <v>210</v>
      </c>
      <c r="J5" t="n">
        <v>1960</v>
      </c>
    </row>
    <row r="6">
      <c r="A6" t="inlineStr">
        <is>
          <t>2026-05-09</t>
        </is>
      </c>
      <c r="B6" t="inlineStr">
        <is>
          <t>FAC-2005</t>
        </is>
      </c>
      <c r="C6" t="inlineStr">
        <is>
          <t>Cliente Premium</t>
        </is>
      </c>
      <c r="D6" t="inlineStr">
        <is>
          <t>Carlos Méndez</t>
        </is>
      </c>
      <c r="E6" t="inlineStr">
        <is>
          <t>Teclado</t>
        </is>
      </c>
      <c r="F6" t="n">
        <v>3</v>
      </c>
      <c r="G6" t="n">
        <v>250</v>
      </c>
      <c r="H6" t="n">
        <v>750</v>
      </c>
      <c r="I6" t="n">
        <v>90</v>
      </c>
      <c r="J6" t="n">
        <v>840</v>
      </c>
    </row>
    <row r="7">
      <c r="A7" t="inlineStr">
        <is>
          <t>2026-05-09</t>
        </is>
      </c>
      <c r="B7" t="inlineStr">
        <is>
          <t>FAC-2006</t>
        </is>
      </c>
      <c r="C7" t="inlineStr">
        <is>
          <t>Tecnología GT</t>
        </is>
      </c>
      <c r="D7" t="inlineStr">
        <is>
          <t>Ana Pérez</t>
        </is>
      </c>
      <c r="E7" t="inlineStr">
        <is>
          <t>Teclado</t>
        </is>
      </c>
      <c r="F7" t="n">
        <v>5</v>
      </c>
      <c r="G7" t="n">
        <v>250</v>
      </c>
      <c r="H7" t="n">
        <v>1250</v>
      </c>
      <c r="I7" t="n">
        <v>150</v>
      </c>
      <c r="J7" t="n">
        <v>1400</v>
      </c>
    </row>
    <row r="8">
      <c r="A8" t="inlineStr">
        <is>
          <t>2026-05-08</t>
        </is>
      </c>
      <c r="B8" t="inlineStr">
        <is>
          <t>FAC-2007</t>
        </is>
      </c>
      <c r="C8" t="inlineStr">
        <is>
          <t>Grupo Nova</t>
        </is>
      </c>
      <c r="D8" t="inlineStr">
        <is>
          <t>Luis Gómez</t>
        </is>
      </c>
      <c r="E8" t="inlineStr">
        <is>
          <t>Monitor</t>
        </is>
      </c>
      <c r="F8" t="n">
        <v>7</v>
      </c>
      <c r="G8" t="n">
        <v>1800</v>
      </c>
      <c r="H8" t="n">
        <v>12600</v>
      </c>
      <c r="I8" t="n">
        <v>1512</v>
      </c>
      <c r="J8" t="n">
        <v>14112</v>
      </c>
    </row>
    <row r="9">
      <c r="A9" t="inlineStr">
        <is>
          <t>2026-05-04</t>
        </is>
      </c>
      <c r="B9" t="inlineStr">
        <is>
          <t>FAC-2008</t>
        </is>
      </c>
      <c r="C9" t="inlineStr">
        <is>
          <t>Grupo Nova</t>
        </is>
      </c>
      <c r="D9" t="inlineStr">
        <is>
          <t>Luis Gómez</t>
        </is>
      </c>
      <c r="E9" t="inlineStr">
        <is>
          <t>Impresora</t>
        </is>
      </c>
      <c r="F9" t="n">
        <v>7</v>
      </c>
      <c r="G9" t="n">
        <v>1450</v>
      </c>
      <c r="H9" t="n">
        <v>10150</v>
      </c>
      <c r="I9" t="n">
        <v>1218</v>
      </c>
      <c r="J9" t="n">
        <v>11368</v>
      </c>
    </row>
    <row r="10">
      <c r="A10" t="inlineStr">
        <is>
          <t>2026-05-20</t>
        </is>
      </c>
      <c r="B10" t="inlineStr">
        <is>
          <t>FAC-2009</t>
        </is>
      </c>
      <c r="C10" t="inlineStr">
        <is>
          <t>Cliente Premium</t>
        </is>
      </c>
      <c r="D10" t="inlineStr">
        <is>
          <t>Luis Gómez</t>
        </is>
      </c>
      <c r="E10" t="inlineStr">
        <is>
          <t>Impresora</t>
        </is>
      </c>
      <c r="F10" t="n">
        <v>7</v>
      </c>
      <c r="G10" t="n">
        <v>1450</v>
      </c>
      <c r="H10" t="n">
        <v>10150</v>
      </c>
      <c r="I10" t="n">
        <v>1218</v>
      </c>
      <c r="J10" t="n">
        <v>11368</v>
      </c>
    </row>
    <row r="11">
      <c r="A11" t="inlineStr">
        <is>
          <t>2026-05-09</t>
        </is>
      </c>
      <c r="B11" t="inlineStr">
        <is>
          <t>FAC-2010</t>
        </is>
      </c>
      <c r="C11" t="inlineStr">
        <is>
          <t>Comercial López</t>
        </is>
      </c>
      <c r="D11" t="inlineStr">
        <is>
          <t>María Castillo</t>
        </is>
      </c>
      <c r="E11" t="inlineStr">
        <is>
          <t>Teclado</t>
        </is>
      </c>
      <c r="F11" t="n">
        <v>5</v>
      </c>
      <c r="G11" t="n">
        <v>250</v>
      </c>
      <c r="H11" t="n">
        <v>1250</v>
      </c>
      <c r="I11" t="n">
        <v>150</v>
      </c>
      <c r="J11" t="n">
        <v>1400</v>
      </c>
    </row>
    <row r="12">
      <c r="A12" t="inlineStr">
        <is>
          <t>2026-05-17</t>
        </is>
      </c>
      <c r="B12" t="inlineStr">
        <is>
          <t>FAC-2011</t>
        </is>
      </c>
      <c r="C12" t="inlineStr">
        <is>
          <t>Distribuidora Maya</t>
        </is>
      </c>
      <c r="D12" t="inlineStr">
        <is>
          <t>Luis Gómez</t>
        </is>
      </c>
      <c r="E12" t="inlineStr">
        <is>
          <t>Teclado</t>
        </is>
      </c>
      <c r="F12" t="n">
        <v>2</v>
      </c>
      <c r="G12" t="n">
        <v>250</v>
      </c>
      <c r="H12" t="n">
        <v>500</v>
      </c>
      <c r="I12" t="n">
        <v>60</v>
      </c>
      <c r="J12" t="n">
        <v>560</v>
      </c>
    </row>
    <row r="13">
      <c r="A13" t="inlineStr">
        <is>
          <t>2026-05-21</t>
        </is>
      </c>
      <c r="B13" t="inlineStr">
        <is>
          <t>FAC-2012</t>
        </is>
      </c>
      <c r="C13" t="inlineStr">
        <is>
          <t>Cliente Premium</t>
        </is>
      </c>
      <c r="D13" t="inlineStr">
        <is>
          <t>Carlos Méndez</t>
        </is>
      </c>
      <c r="E13" t="inlineStr">
        <is>
          <t>Monitor</t>
        </is>
      </c>
      <c r="F13" t="n">
        <v>5</v>
      </c>
      <c r="G13" t="n">
        <v>1800</v>
      </c>
      <c r="H13" t="n">
        <v>9000</v>
      </c>
      <c r="I13" t="n">
        <v>1080</v>
      </c>
      <c r="J13" t="n">
        <v>10080</v>
      </c>
    </row>
    <row r="14">
      <c r="A14" t="inlineStr">
        <is>
          <t>2026-05-21</t>
        </is>
      </c>
      <c r="B14" t="inlineStr">
        <is>
          <t>FAC-2013</t>
        </is>
      </c>
      <c r="C14" t="inlineStr">
        <is>
          <t>Comercial López</t>
        </is>
      </c>
      <c r="D14" t="inlineStr">
        <is>
          <t>Luis Gómez</t>
        </is>
      </c>
      <c r="E14" t="inlineStr">
        <is>
          <t>Impresora</t>
        </is>
      </c>
      <c r="F14" t="n">
        <v>4</v>
      </c>
      <c r="G14" t="n">
        <v>1450</v>
      </c>
      <c r="H14" t="n">
        <v>5800</v>
      </c>
      <c r="I14" t="n">
        <v>696</v>
      </c>
      <c r="J14" t="n">
        <v>6496</v>
      </c>
    </row>
    <row r="15">
      <c r="A15" t="inlineStr">
        <is>
          <t>2026-05-05</t>
        </is>
      </c>
      <c r="B15" t="inlineStr">
        <is>
          <t>FAC-2014</t>
        </is>
      </c>
      <c r="C15" t="inlineStr">
        <is>
          <t>Grupo Nova</t>
        </is>
      </c>
      <c r="D15" t="inlineStr">
        <is>
          <t>Luis Gómez</t>
        </is>
      </c>
      <c r="E15" t="inlineStr">
        <is>
          <t>Mouse</t>
        </is>
      </c>
      <c r="F15" t="n">
        <v>1</v>
      </c>
      <c r="G15" t="n">
        <v>120</v>
      </c>
      <c r="H15" t="n">
        <v>120</v>
      </c>
      <c r="I15" t="n">
        <v>14.4</v>
      </c>
      <c r="J15" t="n">
        <v>134.4</v>
      </c>
    </row>
    <row r="16">
      <c r="A16" t="inlineStr">
        <is>
          <t>2026-05-04</t>
        </is>
      </c>
      <c r="B16" t="inlineStr">
        <is>
          <t>FAC-2015</t>
        </is>
      </c>
      <c r="C16" t="inlineStr">
        <is>
          <t>Distribuidora Maya</t>
        </is>
      </c>
      <c r="D16" t="inlineStr">
        <is>
          <t>Ana Pérez</t>
        </is>
      </c>
      <c r="E16" t="inlineStr">
        <is>
          <t>Laptop</t>
        </is>
      </c>
      <c r="F16" t="n">
        <v>6</v>
      </c>
      <c r="G16" t="n">
        <v>7500</v>
      </c>
      <c r="H16" t="n">
        <v>45000</v>
      </c>
      <c r="I16" t="n">
        <v>5400</v>
      </c>
      <c r="J16" t="n">
        <v>50400</v>
      </c>
    </row>
    <row r="17">
      <c r="A17" t="inlineStr">
        <is>
          <t>2026-05-06</t>
        </is>
      </c>
      <c r="B17" t="inlineStr">
        <is>
          <t>FAC-2016</t>
        </is>
      </c>
      <c r="C17" t="inlineStr">
        <is>
          <t>Distribuidora Maya</t>
        </is>
      </c>
      <c r="D17" t="inlineStr">
        <is>
          <t>Luis Gómez</t>
        </is>
      </c>
      <c r="E17" t="inlineStr">
        <is>
          <t>Laptop</t>
        </is>
      </c>
      <c r="F17" t="n">
        <v>7</v>
      </c>
      <c r="G17" t="n">
        <v>7500</v>
      </c>
      <c r="H17" t="n">
        <v>52500</v>
      </c>
      <c r="I17" t="n">
        <v>6300</v>
      </c>
      <c r="J17" t="n">
        <v>58800</v>
      </c>
    </row>
    <row r="18">
      <c r="A18" t="inlineStr">
        <is>
          <t>2026-05-17</t>
        </is>
      </c>
      <c r="B18" t="inlineStr">
        <is>
          <t>FAC-2017</t>
        </is>
      </c>
      <c r="C18" t="inlineStr">
        <is>
          <t>Distribuidora Maya</t>
        </is>
      </c>
      <c r="D18" t="inlineStr">
        <is>
          <t>María Castillo</t>
        </is>
      </c>
      <c r="E18" t="inlineStr">
        <is>
          <t>Impresora</t>
        </is>
      </c>
      <c r="F18" t="n">
        <v>3</v>
      </c>
      <c r="G18" t="n">
        <v>1450</v>
      </c>
      <c r="H18" t="n">
        <v>4350</v>
      </c>
      <c r="I18" t="n">
        <v>522</v>
      </c>
      <c r="J18" t="n">
        <v>4872</v>
      </c>
    </row>
    <row r="19">
      <c r="A19" t="inlineStr">
        <is>
          <t>2026-05-16</t>
        </is>
      </c>
      <c r="B19" t="inlineStr">
        <is>
          <t>FAC-2018</t>
        </is>
      </c>
      <c r="C19" t="inlineStr">
        <is>
          <t>Tecnología GT</t>
        </is>
      </c>
      <c r="D19" t="inlineStr">
        <is>
          <t>Luis Gómez</t>
        </is>
      </c>
      <c r="E19" t="inlineStr">
        <is>
          <t>Mouse</t>
        </is>
      </c>
      <c r="F19" t="n">
        <v>5</v>
      </c>
      <c r="G19" t="n">
        <v>120</v>
      </c>
      <c r="H19" t="n">
        <v>600</v>
      </c>
      <c r="I19" t="n">
        <v>72</v>
      </c>
      <c r="J19" t="n">
        <v>672</v>
      </c>
    </row>
    <row r="20">
      <c r="A20" t="inlineStr">
        <is>
          <t>2026-05-20</t>
        </is>
      </c>
      <c r="B20" t="inlineStr">
        <is>
          <t>FAC-2019</t>
        </is>
      </c>
      <c r="C20" t="inlineStr">
        <is>
          <t>Cliente Premium</t>
        </is>
      </c>
      <c r="D20" t="inlineStr">
        <is>
          <t>Luis Gómez</t>
        </is>
      </c>
      <c r="E20" t="inlineStr">
        <is>
          <t>Impresora</t>
        </is>
      </c>
      <c r="F20" t="n">
        <v>2</v>
      </c>
      <c r="G20" t="n">
        <v>1450</v>
      </c>
      <c r="H20" t="n">
        <v>2900</v>
      </c>
      <c r="I20" t="n">
        <v>348</v>
      </c>
      <c r="J20" t="n">
        <v>3248</v>
      </c>
    </row>
    <row r="21">
      <c r="A21" t="inlineStr">
        <is>
          <t>2026-05-14</t>
        </is>
      </c>
      <c r="B21" t="inlineStr">
        <is>
          <t>FAC-2020</t>
        </is>
      </c>
      <c r="C21" t="inlineStr">
        <is>
          <t>Distribuidora Maya</t>
        </is>
      </c>
      <c r="D21" t="inlineStr">
        <is>
          <t>María Castillo</t>
        </is>
      </c>
      <c r="E21" t="inlineStr">
        <is>
          <t>Monitor</t>
        </is>
      </c>
      <c r="F21" t="n">
        <v>5</v>
      </c>
      <c r="G21" t="n">
        <v>1800</v>
      </c>
      <c r="H21" t="n">
        <v>9000</v>
      </c>
      <c r="I21" t="n">
        <v>1080</v>
      </c>
      <c r="J21" t="n">
        <v>10080</v>
      </c>
    </row>
    <row r="22">
      <c r="A22" t="inlineStr">
        <is>
          <t>2026-05-14</t>
        </is>
      </c>
      <c r="B22" t="inlineStr">
        <is>
          <t>FAC-2021</t>
        </is>
      </c>
      <c r="C22" t="inlineStr">
        <is>
          <t>Comercial López</t>
        </is>
      </c>
      <c r="D22" t="inlineStr">
        <is>
          <t>Carlos Méndez</t>
        </is>
      </c>
      <c r="E22" t="inlineStr">
        <is>
          <t>Impresora</t>
        </is>
      </c>
      <c r="F22" t="n">
        <v>5</v>
      </c>
      <c r="G22" t="n">
        <v>1450</v>
      </c>
      <c r="H22" t="n">
        <v>7250</v>
      </c>
      <c r="I22" t="n">
        <v>870</v>
      </c>
      <c r="J22" t="n">
        <v>8120</v>
      </c>
    </row>
    <row r="23">
      <c r="A23" t="inlineStr">
        <is>
          <t>2026-05-03</t>
        </is>
      </c>
      <c r="B23" t="inlineStr">
        <is>
          <t>FAC-2022</t>
        </is>
      </c>
      <c r="C23" t="inlineStr">
        <is>
          <t>Grupo Nova</t>
        </is>
      </c>
      <c r="D23" t="inlineStr">
        <is>
          <t>Ana Pérez</t>
        </is>
      </c>
      <c r="E23" t="inlineStr">
        <is>
          <t>Impresora</t>
        </is>
      </c>
      <c r="F23" t="n">
        <v>8</v>
      </c>
      <c r="G23" t="n">
        <v>1450</v>
      </c>
      <c r="H23" t="n">
        <v>11600</v>
      </c>
      <c r="I23" t="n">
        <v>1392</v>
      </c>
      <c r="J23" t="n">
        <v>12992</v>
      </c>
    </row>
    <row r="24">
      <c r="A24" t="inlineStr">
        <is>
          <t>2026-05-15</t>
        </is>
      </c>
      <c r="B24" t="inlineStr">
        <is>
          <t>FAC-2023</t>
        </is>
      </c>
      <c r="C24" t="inlineStr">
        <is>
          <t>Tecnología GT</t>
        </is>
      </c>
      <c r="D24" t="inlineStr">
        <is>
          <t>Carlos Méndez</t>
        </is>
      </c>
      <c r="E24" t="inlineStr">
        <is>
          <t>Mouse</t>
        </is>
      </c>
      <c r="F24" t="n">
        <v>6</v>
      </c>
      <c r="G24" t="n">
        <v>120</v>
      </c>
      <c r="H24" t="n">
        <v>720</v>
      </c>
      <c r="I24" t="n">
        <v>86.40000000000001</v>
      </c>
      <c r="J24" t="n">
        <v>806.4</v>
      </c>
    </row>
    <row r="25">
      <c r="A25" t="inlineStr">
        <is>
          <t>2026-05-11</t>
        </is>
      </c>
      <c r="B25" t="inlineStr">
        <is>
          <t>FAC-2024</t>
        </is>
      </c>
      <c r="C25" t="inlineStr">
        <is>
          <t>Comercial López</t>
        </is>
      </c>
      <c r="D25" t="inlineStr">
        <is>
          <t>Carlos Méndez</t>
        </is>
      </c>
      <c r="E25" t="inlineStr">
        <is>
          <t>Impresora</t>
        </is>
      </c>
      <c r="F25" t="n">
        <v>2</v>
      </c>
      <c r="G25" t="n">
        <v>1450</v>
      </c>
      <c r="H25" t="n">
        <v>2900</v>
      </c>
      <c r="I25" t="n">
        <v>348</v>
      </c>
      <c r="J25" t="n">
        <v>3248</v>
      </c>
    </row>
    <row r="26">
      <c r="A26" t="inlineStr">
        <is>
          <t>2026-05-13</t>
        </is>
      </c>
      <c r="B26" t="inlineStr">
        <is>
          <t>FAC-2025</t>
        </is>
      </c>
      <c r="C26" t="inlineStr">
        <is>
          <t>Cliente Premium</t>
        </is>
      </c>
      <c r="D26" t="inlineStr">
        <is>
          <t>Ana Pérez</t>
        </is>
      </c>
      <c r="E26" t="inlineStr">
        <is>
          <t>Teclado</t>
        </is>
      </c>
      <c r="F26" t="n">
        <v>6</v>
      </c>
      <c r="G26" t="n">
        <v>250</v>
      </c>
      <c r="H26" t="n">
        <v>1500</v>
      </c>
      <c r="I26" t="n">
        <v>180</v>
      </c>
      <c r="J26" t="n">
        <v>1680</v>
      </c>
    </row>
    <row r="27">
      <c r="A27" t="inlineStr">
        <is>
          <t>2026-05-02</t>
        </is>
      </c>
      <c r="B27" t="inlineStr">
        <is>
          <t>FAC-2026</t>
        </is>
      </c>
      <c r="C27" t="inlineStr">
        <is>
          <t>Tecnología GT</t>
        </is>
      </c>
      <c r="D27" t="inlineStr">
        <is>
          <t>Ana Pérez</t>
        </is>
      </c>
      <c r="E27" t="inlineStr">
        <is>
          <t>Mouse</t>
        </is>
      </c>
      <c r="F27" t="n">
        <v>6</v>
      </c>
      <c r="G27" t="n">
        <v>120</v>
      </c>
      <c r="H27" t="n">
        <v>720</v>
      </c>
      <c r="I27" t="n">
        <v>86.40000000000001</v>
      </c>
      <c r="J27" t="n">
        <v>806.4</v>
      </c>
    </row>
    <row r="28">
      <c r="A28" t="inlineStr">
        <is>
          <t>2026-05-09</t>
        </is>
      </c>
      <c r="B28" t="inlineStr">
        <is>
          <t>FAC-2027</t>
        </is>
      </c>
      <c r="C28" t="inlineStr">
        <is>
          <t>Cliente Premium</t>
        </is>
      </c>
      <c r="D28" t="inlineStr">
        <is>
          <t>María Castillo</t>
        </is>
      </c>
      <c r="E28" t="inlineStr">
        <is>
          <t>Teclado</t>
        </is>
      </c>
      <c r="F28" t="n">
        <v>4</v>
      </c>
      <c r="G28" t="n">
        <v>250</v>
      </c>
      <c r="H28" t="n">
        <v>1000</v>
      </c>
      <c r="I28" t="n">
        <v>120</v>
      </c>
      <c r="J28" t="n">
        <v>1120</v>
      </c>
    </row>
    <row r="29">
      <c r="A29" t="inlineStr">
        <is>
          <t>2026-05-12</t>
        </is>
      </c>
      <c r="B29" t="inlineStr">
        <is>
          <t>FAC-2028</t>
        </is>
      </c>
      <c r="C29" t="inlineStr">
        <is>
          <t>Cliente Premium</t>
        </is>
      </c>
      <c r="D29" t="inlineStr">
        <is>
          <t>Carlos Méndez</t>
        </is>
      </c>
      <c r="E29" t="inlineStr">
        <is>
          <t>Impresora</t>
        </is>
      </c>
      <c r="F29" t="n">
        <v>3</v>
      </c>
      <c r="G29" t="n">
        <v>1450</v>
      </c>
      <c r="H29" t="n">
        <v>4350</v>
      </c>
      <c r="I29" t="n">
        <v>522</v>
      </c>
      <c r="J29" t="n">
        <v>4872</v>
      </c>
    </row>
    <row r="30">
      <c r="A30" t="inlineStr">
        <is>
          <t>2026-05-18</t>
        </is>
      </c>
      <c r="B30" t="inlineStr">
        <is>
          <t>FAC-2029</t>
        </is>
      </c>
      <c r="C30" t="inlineStr">
        <is>
          <t>Tecnología GT</t>
        </is>
      </c>
      <c r="D30" t="inlineStr">
        <is>
          <t>Luis Gómez</t>
        </is>
      </c>
      <c r="E30" t="inlineStr">
        <is>
          <t>Laptop</t>
        </is>
      </c>
      <c r="F30" t="n">
        <v>8</v>
      </c>
      <c r="G30" t="n">
        <v>7500</v>
      </c>
      <c r="H30" t="n">
        <v>60000</v>
      </c>
      <c r="I30" t="n">
        <v>7200</v>
      </c>
      <c r="J30" t="n">
        <v>67200</v>
      </c>
    </row>
    <row r="31">
      <c r="A31" t="inlineStr">
        <is>
          <t>2026-05-06</t>
        </is>
      </c>
      <c r="B31" t="inlineStr">
        <is>
          <t>FAC-2030</t>
        </is>
      </c>
      <c r="C31" t="inlineStr">
        <is>
          <t>Cliente Premium</t>
        </is>
      </c>
      <c r="D31" t="inlineStr">
        <is>
          <t>Luis Gómez</t>
        </is>
      </c>
      <c r="E31" t="inlineStr">
        <is>
          <t>Teclado</t>
        </is>
      </c>
      <c r="F31" t="n">
        <v>6</v>
      </c>
      <c r="G31" t="n">
        <v>250</v>
      </c>
      <c r="H31" t="n">
        <v>1500</v>
      </c>
      <c r="I31" t="n">
        <v>180</v>
      </c>
      <c r="J31" t="n">
        <v>1680</v>
      </c>
    </row>
    <row r="32">
      <c r="A32" t="inlineStr">
        <is>
          <t>2026-05-10</t>
        </is>
      </c>
      <c r="B32" t="inlineStr">
        <is>
          <t>FAC-2031</t>
        </is>
      </c>
      <c r="C32" t="inlineStr">
        <is>
          <t>Cliente Premium</t>
        </is>
      </c>
      <c r="D32" t="inlineStr">
        <is>
          <t>María Castillo</t>
        </is>
      </c>
      <c r="E32" t="inlineStr">
        <is>
          <t>Laptop</t>
        </is>
      </c>
      <c r="F32" t="n">
        <v>7</v>
      </c>
      <c r="G32" t="n">
        <v>7500</v>
      </c>
      <c r="H32" t="n">
        <v>52500</v>
      </c>
      <c r="I32" t="n">
        <v>6300</v>
      </c>
      <c r="J32" t="n">
        <v>58800</v>
      </c>
    </row>
    <row r="33">
      <c r="A33" t="inlineStr">
        <is>
          <t>2026-05-06</t>
        </is>
      </c>
      <c r="B33" t="inlineStr">
        <is>
          <t>FAC-2032</t>
        </is>
      </c>
      <c r="C33" t="inlineStr">
        <is>
          <t>Distribuidora Maya</t>
        </is>
      </c>
      <c r="D33" t="inlineStr">
        <is>
          <t>Carlos Méndez</t>
        </is>
      </c>
      <c r="E33" t="inlineStr">
        <is>
          <t>Monitor</t>
        </is>
      </c>
      <c r="F33" t="n">
        <v>4</v>
      </c>
      <c r="G33" t="n">
        <v>1800</v>
      </c>
      <c r="H33" t="n">
        <v>7200</v>
      </c>
      <c r="I33" t="n">
        <v>864</v>
      </c>
      <c r="J33" t="n">
        <v>8064</v>
      </c>
    </row>
    <row r="34">
      <c r="A34" t="inlineStr">
        <is>
          <t>2026-05-15</t>
        </is>
      </c>
      <c r="B34" t="inlineStr">
        <is>
          <t>FAC-2033</t>
        </is>
      </c>
      <c r="C34" t="inlineStr">
        <is>
          <t>Comercial López</t>
        </is>
      </c>
      <c r="D34" t="inlineStr">
        <is>
          <t>Luis Gómez</t>
        </is>
      </c>
      <c r="E34" t="inlineStr">
        <is>
          <t>Impresora</t>
        </is>
      </c>
      <c r="F34" t="n">
        <v>4</v>
      </c>
      <c r="G34" t="n">
        <v>1450</v>
      </c>
      <c r="H34" t="n">
        <v>5800</v>
      </c>
      <c r="I34" t="n">
        <v>696</v>
      </c>
      <c r="J34" t="n">
        <v>6496</v>
      </c>
    </row>
    <row r="35">
      <c r="A35" t="inlineStr">
        <is>
          <t>2026-05-16</t>
        </is>
      </c>
      <c r="B35" t="inlineStr">
        <is>
          <t>FAC-2034</t>
        </is>
      </c>
      <c r="C35" t="inlineStr">
        <is>
          <t>Distribuidora Maya</t>
        </is>
      </c>
      <c r="D35" t="inlineStr">
        <is>
          <t>Ana Pérez</t>
        </is>
      </c>
      <c r="E35" t="inlineStr">
        <is>
          <t>Mouse</t>
        </is>
      </c>
      <c r="F35" t="n">
        <v>3</v>
      </c>
      <c r="G35" t="n">
        <v>120</v>
      </c>
      <c r="H35" t="n">
        <v>360</v>
      </c>
      <c r="I35" t="n">
        <v>43.2</v>
      </c>
      <c r="J35" t="n">
        <v>403.2</v>
      </c>
    </row>
    <row r="36">
      <c r="A36" t="inlineStr">
        <is>
          <t>2026-05-07</t>
        </is>
      </c>
      <c r="B36" t="inlineStr">
        <is>
          <t>FAC-2035</t>
        </is>
      </c>
      <c r="C36" t="inlineStr">
        <is>
          <t>Cliente Premium</t>
        </is>
      </c>
      <c r="D36" t="inlineStr">
        <is>
          <t>Ana Pérez</t>
        </is>
      </c>
      <c r="E36" t="inlineStr">
        <is>
          <t>Mouse</t>
        </is>
      </c>
      <c r="F36" t="n">
        <v>6</v>
      </c>
      <c r="G36" t="n">
        <v>120</v>
      </c>
      <c r="H36" t="n">
        <v>720</v>
      </c>
      <c r="I36" t="n">
        <v>86.40000000000001</v>
      </c>
      <c r="J36" t="n">
        <v>806.4</v>
      </c>
    </row>
    <row r="37">
      <c r="A37" t="inlineStr">
        <is>
          <t>2026-05-09</t>
        </is>
      </c>
      <c r="B37" t="inlineStr">
        <is>
          <t>FAC-2036</t>
        </is>
      </c>
      <c r="C37" t="inlineStr">
        <is>
          <t>Comercial López</t>
        </is>
      </c>
      <c r="D37" t="inlineStr">
        <is>
          <t>Luis Gómez</t>
        </is>
      </c>
      <c r="E37" t="inlineStr">
        <is>
          <t>Monitor</t>
        </is>
      </c>
      <c r="F37" t="n">
        <v>4</v>
      </c>
      <c r="G37" t="n">
        <v>1800</v>
      </c>
      <c r="H37" t="n">
        <v>7200</v>
      </c>
      <c r="I37" t="n">
        <v>864</v>
      </c>
      <c r="J37" t="n">
        <v>8064</v>
      </c>
    </row>
    <row r="38">
      <c r="A38" t="inlineStr">
        <is>
          <t>2026-05-07</t>
        </is>
      </c>
      <c r="B38" t="inlineStr">
        <is>
          <t>FAC-2037</t>
        </is>
      </c>
      <c r="C38" t="inlineStr">
        <is>
          <t>Comercial López</t>
        </is>
      </c>
      <c r="D38" t="inlineStr">
        <is>
          <t>María Castillo</t>
        </is>
      </c>
      <c r="E38" t="inlineStr">
        <is>
          <t>Monitor</t>
        </is>
      </c>
      <c r="F38" t="n">
        <v>5</v>
      </c>
      <c r="G38" t="n">
        <v>1800</v>
      </c>
      <c r="H38" t="n">
        <v>9000</v>
      </c>
      <c r="I38" t="n">
        <v>1080</v>
      </c>
      <c r="J38" t="n">
        <v>10080</v>
      </c>
    </row>
    <row r="39">
      <c r="A39" t="inlineStr">
        <is>
          <t>2026-05-18</t>
        </is>
      </c>
      <c r="B39" t="inlineStr">
        <is>
          <t>FAC-2038</t>
        </is>
      </c>
      <c r="C39" t="inlineStr">
        <is>
          <t>Distribuidora Maya</t>
        </is>
      </c>
      <c r="D39" t="inlineStr">
        <is>
          <t>Luis Gómez</t>
        </is>
      </c>
      <c r="E39" t="inlineStr">
        <is>
          <t>Monitor</t>
        </is>
      </c>
      <c r="F39" t="n">
        <v>2</v>
      </c>
      <c r="G39" t="n">
        <v>1800</v>
      </c>
      <c r="H39" t="n">
        <v>3600</v>
      </c>
      <c r="I39" t="n">
        <v>432</v>
      </c>
      <c r="J39" t="n">
        <v>4032</v>
      </c>
    </row>
    <row r="40">
      <c r="A40" t="inlineStr">
        <is>
          <t>2026-05-12</t>
        </is>
      </c>
      <c r="B40" t="inlineStr">
        <is>
          <t>FAC-2039</t>
        </is>
      </c>
      <c r="C40" t="inlineStr">
        <is>
          <t>Comercial López</t>
        </is>
      </c>
      <c r="D40" t="inlineStr">
        <is>
          <t>Ana Pérez</t>
        </is>
      </c>
      <c r="E40" t="inlineStr">
        <is>
          <t>Teclado</t>
        </is>
      </c>
      <c r="F40" t="n">
        <v>7</v>
      </c>
      <c r="G40" t="n">
        <v>250</v>
      </c>
      <c r="H40" t="n">
        <v>1750</v>
      </c>
      <c r="I40" t="n">
        <v>210</v>
      </c>
      <c r="J40" t="n">
        <v>1960</v>
      </c>
    </row>
    <row r="41">
      <c r="A41" t="inlineStr">
        <is>
          <t>2026-05-07</t>
        </is>
      </c>
      <c r="B41" t="inlineStr">
        <is>
          <t>FAC-2040</t>
        </is>
      </c>
      <c r="C41" t="inlineStr">
        <is>
          <t>Grupo Nova</t>
        </is>
      </c>
      <c r="D41" t="inlineStr">
        <is>
          <t>Carlos Méndez</t>
        </is>
      </c>
      <c r="E41" t="inlineStr">
        <is>
          <t>Teclado</t>
        </is>
      </c>
      <c r="F41" t="n">
        <v>8</v>
      </c>
      <c r="G41" t="n">
        <v>250</v>
      </c>
      <c r="H41" t="n">
        <v>2000</v>
      </c>
      <c r="I41" t="n">
        <v>240</v>
      </c>
      <c r="J41" t="n">
        <v>2240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</t>
        </is>
      </c>
      <c r="B1" s="2" t="inlineStr">
        <is>
          <t>Valor</t>
        </is>
      </c>
      <c r="D1" t="inlineStr">
        <is>
          <t>Producto</t>
        </is>
      </c>
      <c r="E1" t="inlineStr">
        <is>
          <t>Ventas</t>
        </is>
      </c>
    </row>
    <row r="2">
      <c r="A2" t="inlineStr">
        <is>
          <t>Total Facturado</t>
        </is>
      </c>
      <c r="B2">
        <f>SUM(Ventas!J2:J41)</f>
        <v/>
      </c>
      <c r="D2" t="inlineStr">
        <is>
          <t>Laptop</t>
        </is>
      </c>
      <c r="E2">
        <f>SUMIF(Ventas!E:E,D2,Ventas!J:J)</f>
        <v/>
      </c>
    </row>
    <row r="3">
      <c r="A3" t="inlineStr">
        <is>
          <t>IVA Recaudado</t>
        </is>
      </c>
      <c r="B3">
        <f>SUM(Ventas!I2:I41)</f>
        <v/>
      </c>
      <c r="D3" t="inlineStr">
        <is>
          <t>Mouse</t>
        </is>
      </c>
      <c r="E3">
        <f>SUMIF(Ventas!E:E,D3,Ventas!J:J)</f>
        <v/>
      </c>
    </row>
    <row r="4">
      <c r="A4" t="inlineStr">
        <is>
          <t>Número de Facturas</t>
        </is>
      </c>
      <c r="B4">
        <f>COUNTA(Ventas!B2:B41)</f>
        <v/>
      </c>
      <c r="D4" t="inlineStr">
        <is>
          <t>Teclado</t>
        </is>
      </c>
      <c r="E4">
        <f>SUMIF(Ventas!E:E,D4,Ventas!J:J)</f>
        <v/>
      </c>
    </row>
    <row r="5">
      <c r="D5" t="inlineStr">
        <is>
          <t>Monitor</t>
        </is>
      </c>
      <c r="E5">
        <f>SUMIF(Ventas!E:E,D5,Ventas!J:J)</f>
        <v/>
      </c>
    </row>
    <row r="6">
      <c r="D6" t="inlineStr">
        <is>
          <t>Impresora</t>
        </is>
      </c>
      <c r="E6">
        <f>SUMIF(Ventas!E:E,D6,Ventas!J:J)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2026-05-22T20:32:50Z</dcterms:created>
  <dcterms:modified xmlns:dcterms="http://purl.org/dc/terms/" xmlns:xsi="http://www.w3.org/2001/XMLSchema-instance" xsi:type="dcterms:W3CDTF">2026-05-22T20:32:50Z</dcterms:modified>
</cp:coreProperties>
</file>